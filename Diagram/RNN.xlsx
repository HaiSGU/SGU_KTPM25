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BD561D3-CA52-42DB-9965-9DBE15AEF22E}" xr6:coauthVersionLast="47" xr6:coauthVersionMax="47" xr10:uidLastSave="{00000000-0000-0000-0000-000000000000}"/>
  <bookViews>
    <workbookView xWindow="0" yWindow="0" windowWidth="11520" windowHeight="12360" xr2:uid="{C8CD035A-3180-467D-BE76-E90B4F60C47B}"/>
  </bookViews>
  <sheets>
    <sheet name="RNN" sheetId="1" r:id="rId1"/>
    <sheet name="LST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 a="1"/>
  <c r="B40" i="1" s="1"/>
  <c r="B133" i="3"/>
  <c r="B129" i="3" a="1"/>
  <c r="B129" i="3" s="1"/>
  <c r="B125" i="3" a="1"/>
  <c r="B125" i="3" s="1"/>
  <c r="E121" i="3" a="1"/>
  <c r="E121" i="3" s="1"/>
  <c r="B121" i="3" a="1"/>
  <c r="B121" i="3" s="1"/>
  <c r="K117" i="3" a="1"/>
  <c r="K117" i="3" s="1"/>
  <c r="B117" i="3" a="1"/>
  <c r="B117" i="3" s="1"/>
  <c r="H117" i="3" a="1"/>
  <c r="H117" i="3" s="1"/>
  <c r="E117" i="3" a="1"/>
  <c r="E117" i="3" s="1"/>
  <c r="B100" i="3" a="1"/>
  <c r="B100" i="3" s="1"/>
  <c r="H43" i="3" a="1"/>
  <c r="H43" i="3" s="1"/>
  <c r="E43" i="3" a="1"/>
  <c r="E43" i="3" s="1"/>
  <c r="B43" i="3" a="1"/>
  <c r="B43" i="3" s="1"/>
  <c r="K43" i="3" a="1"/>
  <c r="K43" i="3" s="1"/>
  <c r="B43" i="1" l="1" a="1"/>
  <c r="H46" i="3" a="1"/>
  <c r="H46" i="3" s="1"/>
  <c r="B46" i="3" a="1"/>
  <c r="K46" i="3" a="1"/>
  <c r="E46" i="3" a="1"/>
  <c r="E46" i="3" s="1"/>
  <c r="B43" i="1" l="1"/>
  <c r="B46" i="1" s="1" a="1"/>
  <c r="B49" i="3" a="1"/>
  <c r="K46" i="3"/>
  <c r="B46" i="3"/>
  <c r="B46" i="1" l="1"/>
  <c r="B49" i="1" s="1" a="1"/>
  <c r="B49" i="3"/>
  <c r="E49" i="3" s="1" a="1"/>
  <c r="E49" i="3" s="1"/>
  <c r="B49" i="1" l="1"/>
  <c r="B52" i="1" s="1" a="1"/>
  <c r="B52" i="1" s="1"/>
  <c r="B60" i="3" a="1"/>
  <c r="H60" i="3" a="1"/>
  <c r="E60" i="3" a="1"/>
  <c r="K60" i="3" a="1"/>
  <c r="B56" i="1" l="1" a="1"/>
  <c r="B56" i="1" s="1"/>
  <c r="B61" i="1" s="1"/>
  <c r="K60" i="3"/>
  <c r="K63" i="3" s="1" a="1"/>
  <c r="E60" i="3"/>
  <c r="E63" i="3" a="1"/>
  <c r="E63" i="3" s="1"/>
  <c r="H60" i="3"/>
  <c r="H63" i="3" a="1"/>
  <c r="H63" i="3" s="1"/>
  <c r="B60" i="3"/>
  <c r="B63" i="3" s="1" a="1"/>
  <c r="B63" i="3" l="1"/>
  <c r="B66" i="3" s="1" a="1"/>
  <c r="K63" i="3"/>
  <c r="B66" i="3" l="1"/>
  <c r="E66" i="3" s="1" a="1"/>
  <c r="E66" i="3" l="1"/>
  <c r="E78" i="3" s="1" a="1"/>
  <c r="K78" i="3" l="1" a="1"/>
  <c r="K78" i="3" s="1"/>
  <c r="K81" i="3" s="1" a="1"/>
  <c r="K81" i="3" s="1"/>
  <c r="B78" i="3" a="1"/>
  <c r="B78" i="3" s="1"/>
  <c r="E78" i="3"/>
  <c r="E81" i="3" s="1" a="1"/>
  <c r="E81" i="3" s="1"/>
  <c r="H78" i="3" a="1"/>
  <c r="H78" i="3" s="1"/>
  <c r="H81" i="3" s="1" a="1"/>
  <c r="H81" i="3" s="1"/>
  <c r="B81" i="3" l="1" a="1"/>
  <c r="B81" i="3" s="1"/>
  <c r="B84" i="3" l="1" a="1"/>
  <c r="B84" i="3" s="1"/>
  <c r="E84" i="3" l="1" a="1"/>
  <c r="E84" i="3" s="1"/>
  <c r="B97" i="3" l="1" a="1"/>
  <c r="B97" i="3" s="1"/>
  <c r="H97" i="3" a="1"/>
  <c r="H97" i="3" s="1"/>
  <c r="H100" i="3" s="1" a="1"/>
  <c r="H100" i="3" s="1"/>
  <c r="K97" i="3" a="1"/>
  <c r="K97" i="3" s="1"/>
  <c r="E97" i="3" a="1"/>
  <c r="E97" i="3" s="1"/>
  <c r="E100" i="3" s="1" a="1"/>
  <c r="E100" i="3" s="1"/>
  <c r="K100" i="3" l="1" a="1"/>
  <c r="K100" i="3" s="1"/>
  <c r="B103" i="3" a="1"/>
  <c r="B103" i="3" l="1"/>
  <c r="E110" i="3" s="1"/>
  <c r="E111" i="3"/>
  <c r="E103" i="3" a="1"/>
  <c r="E103" i="3" l="1"/>
  <c r="B110" i="3" s="1"/>
  <c r="B111" i="3"/>
  <c r="B114" i="3" l="1" a="1"/>
  <c r="B114" i="3" s="1"/>
  <c r="H114" i="3" a="1"/>
  <c r="H114" i="3" s="1"/>
  <c r="K114" i="3" a="1"/>
  <c r="K114" i="3" s="1"/>
  <c r="E114" i="3" a="1"/>
  <c r="E114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<sst xmlns="http://schemas.openxmlformats.org/spreadsheetml/2006/main" count="115" uniqueCount="79">
  <si>
    <t>Wx</t>
  </si>
  <si>
    <t>Wh</t>
  </si>
  <si>
    <t>Wout</t>
  </si>
  <si>
    <t xml:space="preserve">Vector </t>
  </si>
  <si>
    <t xml:space="preserve">I </t>
  </si>
  <si>
    <t>sports</t>
  </si>
  <si>
    <t>h x c</t>
  </si>
  <si>
    <t xml:space="preserve">b </t>
  </si>
  <si>
    <t xml:space="preserve">  </t>
  </si>
  <si>
    <t>h0</t>
  </si>
  <si>
    <t>bout</t>
  </si>
  <si>
    <t xml:space="preserve">h1 </t>
  </si>
  <si>
    <t xml:space="preserve">h2 </t>
  </si>
  <si>
    <t xml:space="preserve">h3 </t>
  </si>
  <si>
    <t>softmax</t>
  </si>
  <si>
    <t>y =</t>
  </si>
  <si>
    <t>Sport</t>
  </si>
  <si>
    <t>Chính trị</t>
  </si>
  <si>
    <t>Inputs</t>
  </si>
  <si>
    <t>love</t>
  </si>
  <si>
    <t>this</t>
  </si>
  <si>
    <t>movie</t>
  </si>
  <si>
    <t>c0</t>
  </si>
  <si>
    <t>ground truth</t>
  </si>
  <si>
    <t xml:space="preserve">hidden state </t>
  </si>
  <si>
    <t xml:space="preserve">output state </t>
  </si>
  <si>
    <t>Tham số đầu vào</t>
  </si>
  <si>
    <t>Tính toán</t>
  </si>
  <si>
    <t>Wxf</t>
  </si>
  <si>
    <t xml:space="preserve">Whf </t>
  </si>
  <si>
    <t>bf</t>
  </si>
  <si>
    <t>Wxi</t>
  </si>
  <si>
    <t>Wxc</t>
  </si>
  <si>
    <t>Wxo</t>
  </si>
  <si>
    <t>Wy (out)</t>
  </si>
  <si>
    <t>by (out)</t>
  </si>
  <si>
    <t>Whi</t>
  </si>
  <si>
    <t>bi</t>
  </si>
  <si>
    <t>Whc</t>
  </si>
  <si>
    <t>bc</t>
  </si>
  <si>
    <t>Who</t>
  </si>
  <si>
    <t>b0</t>
  </si>
  <si>
    <t>Xt</t>
  </si>
  <si>
    <t>Xi</t>
  </si>
  <si>
    <t>Xc</t>
  </si>
  <si>
    <t>Xo</t>
  </si>
  <si>
    <t xml:space="preserve">ft </t>
  </si>
  <si>
    <t>it</t>
  </si>
  <si>
    <t>ot</t>
  </si>
  <si>
    <t>~Ct</t>
  </si>
  <si>
    <t>Ct</t>
  </si>
  <si>
    <t xml:space="preserve">ht </t>
  </si>
  <si>
    <t>Decoder</t>
  </si>
  <si>
    <t>h'0</t>
  </si>
  <si>
    <t>c'0</t>
  </si>
  <si>
    <t>f't</t>
  </si>
  <si>
    <t>X't</t>
  </si>
  <si>
    <t>i't</t>
  </si>
  <si>
    <t>X'i</t>
  </si>
  <si>
    <t>X'c</t>
  </si>
  <si>
    <t>X'o</t>
  </si>
  <si>
    <t>~C't</t>
  </si>
  <si>
    <t>o't</t>
  </si>
  <si>
    <t>C't</t>
  </si>
  <si>
    <t>h't</t>
  </si>
  <si>
    <t>y^t</t>
  </si>
  <si>
    <t>Softmax'</t>
  </si>
  <si>
    <t>Loss Entropy</t>
  </si>
  <si>
    <t>Team</t>
  </si>
  <si>
    <t xml:space="preserve">won </t>
  </si>
  <si>
    <t xml:space="preserve">the </t>
  </si>
  <si>
    <t>game</t>
  </si>
  <si>
    <t>politics</t>
  </si>
  <si>
    <t>entertainment</t>
  </si>
  <si>
    <t>Input</t>
  </si>
  <si>
    <t>Team won the game</t>
  </si>
  <si>
    <t>Entertainment</t>
  </si>
  <si>
    <t xml:space="preserve">Loss 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</si>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</sst>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68EC-AD35-41E7-B4F0-B277AF4624E4}">
  <dimension ref="A1:F61"/>
  <sheetViews>
    <sheetView tabSelected="1" topLeftCell="A49" zoomScale="145" zoomScaleNormal="145" workbookViewId="0">
      <selection activeCell="F60" sqref="F60"/>
    </sheetView>
  </sheetViews>
  <sheetFormatPr defaultRowHeight="14.4" x14ac:dyDescent="0.3"/>
  <cols>
    <col min="1" max="1" width="10.6640625" bestFit="1" customWidth="1"/>
    <col min="3" max="3" width="12.44140625" bestFit="1" customWidth="1"/>
  </cols>
  <sheetData>
    <row r="1" spans="1:6" x14ac:dyDescent="0.3">
      <c r="A1" t="s">
        <v>74</v>
      </c>
      <c r="B1" t="s">
        <v>75</v>
      </c>
    </row>
    <row r="5" spans="1:6" x14ac:dyDescent="0.3">
      <c r="A5" t="s">
        <v>3</v>
      </c>
      <c r="B5" t="s">
        <v>6</v>
      </c>
      <c r="C5" t="s">
        <v>68</v>
      </c>
      <c r="D5" t="s">
        <v>69</v>
      </c>
      <c r="E5" t="s">
        <v>70</v>
      </c>
      <c r="F5" t="s">
        <v>71</v>
      </c>
    </row>
    <row r="6" spans="1:6" x14ac:dyDescent="0.3">
      <c r="C6">
        <v>0.1</v>
      </c>
      <c r="D6">
        <v>0.3</v>
      </c>
      <c r="E6">
        <v>0.5</v>
      </c>
      <c r="F6">
        <v>0.7</v>
      </c>
    </row>
    <row r="7" spans="1:6" x14ac:dyDescent="0.3">
      <c r="C7">
        <v>0.2</v>
      </c>
      <c r="D7">
        <v>0.4</v>
      </c>
      <c r="E7">
        <v>0.6</v>
      </c>
      <c r="F7">
        <v>0.8</v>
      </c>
    </row>
    <row r="11" spans="1:6" x14ac:dyDescent="0.3">
      <c r="A11" t="s">
        <v>23</v>
      </c>
      <c r="B11">
        <v>1</v>
      </c>
      <c r="C11" t="s">
        <v>5</v>
      </c>
    </row>
    <row r="12" spans="1:6" x14ac:dyDescent="0.3">
      <c r="B12">
        <v>0</v>
      </c>
      <c r="C12" t="s">
        <v>72</v>
      </c>
    </row>
    <row r="13" spans="1:6" x14ac:dyDescent="0.3">
      <c r="B13">
        <v>0</v>
      </c>
      <c r="C13" t="s">
        <v>73</v>
      </c>
    </row>
    <row r="16" spans="1:6" x14ac:dyDescent="0.3">
      <c r="A16" t="s">
        <v>0</v>
      </c>
      <c r="B16">
        <v>0.1</v>
      </c>
      <c r="C16">
        <v>0.2</v>
      </c>
    </row>
    <row r="17" spans="1:3" x14ac:dyDescent="0.3">
      <c r="B17">
        <v>0.3</v>
      </c>
      <c r="C17">
        <v>0.4</v>
      </c>
    </row>
    <row r="19" spans="1:3" x14ac:dyDescent="0.3">
      <c r="A19" t="s">
        <v>1</v>
      </c>
      <c r="B19" s="1">
        <v>0.5</v>
      </c>
      <c r="C19" s="1">
        <v>0.6</v>
      </c>
    </row>
    <row r="20" spans="1:3" x14ac:dyDescent="0.3">
      <c r="B20" s="1">
        <v>0.7</v>
      </c>
      <c r="C20" s="1">
        <v>0.8</v>
      </c>
    </row>
    <row r="22" spans="1:3" x14ac:dyDescent="0.3">
      <c r="A22" t="s">
        <v>7</v>
      </c>
      <c r="B22">
        <v>0.1</v>
      </c>
    </row>
    <row r="23" spans="1:3" x14ac:dyDescent="0.3">
      <c r="B23">
        <v>0.1</v>
      </c>
    </row>
    <row r="26" spans="1:3" x14ac:dyDescent="0.3">
      <c r="A26" t="s">
        <v>9</v>
      </c>
      <c r="B26">
        <v>0</v>
      </c>
    </row>
    <row r="27" spans="1:3" x14ac:dyDescent="0.3">
      <c r="B27">
        <v>0</v>
      </c>
    </row>
    <row r="29" spans="1:3" x14ac:dyDescent="0.3">
      <c r="A29" t="s">
        <v>2</v>
      </c>
      <c r="B29">
        <v>1</v>
      </c>
      <c r="C29">
        <v>1.1000000000000001</v>
      </c>
    </row>
    <row r="30" spans="1:3" x14ac:dyDescent="0.3">
      <c r="B30">
        <v>1.2</v>
      </c>
      <c r="C30">
        <v>1.3</v>
      </c>
    </row>
    <row r="31" spans="1:3" x14ac:dyDescent="0.3">
      <c r="B31">
        <v>1.4</v>
      </c>
      <c r="C31">
        <v>1.5</v>
      </c>
    </row>
    <row r="33" spans="1:2" x14ac:dyDescent="0.3">
      <c r="A33" t="s">
        <v>8</v>
      </c>
    </row>
    <row r="34" spans="1:2" x14ac:dyDescent="0.3">
      <c r="A34" t="s">
        <v>10</v>
      </c>
      <c r="B34">
        <v>0.5</v>
      </c>
    </row>
    <row r="35" spans="1:2" x14ac:dyDescent="0.3">
      <c r="B35">
        <v>0.5</v>
      </c>
    </row>
    <row r="36" spans="1:2" x14ac:dyDescent="0.3">
      <c r="B36">
        <v>0.5</v>
      </c>
    </row>
    <row r="40" spans="1:2" x14ac:dyDescent="0.3">
      <c r="A40" t="s">
        <v>11</v>
      </c>
      <c r="B40" cm="1">
        <f t="array" ref="B40:B41" xml:space="preserve"> TANH(MMULT(B16:C17,C6:C7)+MMULT(B19:C20,B26:B27)+B22:B23)</f>
        <v>0.14888503362331801</v>
      </c>
    </row>
    <row r="41" spans="1:2" x14ac:dyDescent="0.3">
      <c r="B41">
        <v>0.20696649972945264</v>
      </c>
    </row>
    <row r="43" spans="1:2" x14ac:dyDescent="0.3">
      <c r="A43" t="s">
        <v>12</v>
      </c>
      <c r="B43" cm="1">
        <f t="array" ref="B43:B44" xml:space="preserve"> TANH(MMULT(B16:C17,D6:D7)+MMULT(B19:C20,_xlfn.ANCHORARRAY(B40))+B22:B23)</f>
        <v>0.38730236381989241</v>
      </c>
    </row>
    <row r="44" spans="1:2" x14ac:dyDescent="0.3">
      <c r="B44">
        <v>0.55098369402679837</v>
      </c>
    </row>
    <row r="46" spans="1:2" x14ac:dyDescent="0.3">
      <c r="A46" t="s">
        <v>13</v>
      </c>
      <c r="B46" cm="1">
        <f t="array" ref="B46:B47" xml:space="preserve"> TANH(MMULT(B16:C17,E6:E7)+MMULT(B19:C20,_xlfn.ANCHORARRAY(B43))+B22:B23)</f>
        <v>0.66080507220026763</v>
      </c>
    </row>
    <row r="47" spans="1:2" x14ac:dyDescent="0.3">
      <c r="B47">
        <v>0.83423280513723752</v>
      </c>
    </row>
    <row r="49" spans="1:3" x14ac:dyDescent="0.3">
      <c r="A49" t="s">
        <v>78</v>
      </c>
      <c r="B49" cm="1">
        <f t="array" ref="B49:B50" xml:space="preserve"> TANH(MMULT(B16:C17,F6:F7)+MMULT(B19:C20,_xlfn.ANCHORARRAY(B46))+B22:B23)</f>
        <v>0.8213467070015269</v>
      </c>
    </row>
    <row r="50" spans="1:3" x14ac:dyDescent="0.3">
      <c r="B50">
        <v>0.94249740054244879</v>
      </c>
    </row>
    <row r="52" spans="1:3" x14ac:dyDescent="0.3">
      <c r="A52" t="s">
        <v>15</v>
      </c>
      <c r="B52" cm="1">
        <f t="array" ref="B52:B54" xml:space="preserve"> MMULT(B29:C31,_xlfn.ANCHORARRAY(B49))+B34:B36</f>
        <v>2.3580938475982207</v>
      </c>
    </row>
    <row r="53" spans="1:3" x14ac:dyDescent="0.3">
      <c r="B53">
        <v>2.7108626691070157</v>
      </c>
    </row>
    <row r="54" spans="1:3" x14ac:dyDescent="0.3">
      <c r="B54">
        <v>3.0636314906158106</v>
      </c>
    </row>
    <row r="56" spans="1:3" x14ac:dyDescent="0.3">
      <c r="A56" t="s">
        <v>14</v>
      </c>
      <c r="B56" cm="1">
        <f t="array" ref="B56:B58" xml:space="preserve"> EXP(_xlfn.ANCHORARRAY(B52))/SUM(EXP(_xlfn.ANCHORARRAY(B52)))</f>
        <v>0.22482331696483901</v>
      </c>
      <c r="C56" t="s">
        <v>16</v>
      </c>
    </row>
    <row r="57" spans="1:3" x14ac:dyDescent="0.3">
      <c r="B57">
        <v>0.31992406069485907</v>
      </c>
      <c r="C57" t="s">
        <v>17</v>
      </c>
    </row>
    <row r="58" spans="1:3" x14ac:dyDescent="0.3">
      <c r="B58">
        <v>0.45525262234030195</v>
      </c>
      <c r="C58" t="s">
        <v>76</v>
      </c>
    </row>
    <row r="61" spans="1:3" x14ac:dyDescent="0.3">
      <c r="A61" t="s">
        <v>77</v>
      </c>
      <c r="B61">
        <f xml:space="preserve"> -1*LOG(B56)</f>
        <v>0.64815864904591225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F20F-5445-4421-9C0E-1EBA9BFE0B99}">
  <dimension ref="A1:K133"/>
  <sheetViews>
    <sheetView topLeftCell="A112" zoomScale="89" zoomScaleNormal="89" workbookViewId="0">
      <selection activeCell="B133" sqref="B133"/>
    </sheetView>
  </sheetViews>
  <sheetFormatPr defaultRowHeight="14.4" x14ac:dyDescent="0.3"/>
  <cols>
    <col min="1" max="1" width="10.6640625" bestFit="1" customWidth="1"/>
    <col min="4" max="4" width="11.5546875" customWidth="1"/>
    <col min="7" max="7" width="15.77734375" customWidth="1"/>
  </cols>
  <sheetData>
    <row r="1" spans="1:5" s="2" customFormat="1" x14ac:dyDescent="0.3">
      <c r="A1" s="2" t="s">
        <v>26</v>
      </c>
    </row>
    <row r="3" spans="1:5" x14ac:dyDescent="0.3">
      <c r="A3" t="s">
        <v>18</v>
      </c>
      <c r="B3" t="s">
        <v>4</v>
      </c>
      <c r="C3" t="s">
        <v>19</v>
      </c>
      <c r="D3" t="s">
        <v>20</v>
      </c>
      <c r="E3" t="s">
        <v>21</v>
      </c>
    </row>
    <row r="4" spans="1:5" x14ac:dyDescent="0.3">
      <c r="B4">
        <v>0.5</v>
      </c>
      <c r="C4">
        <v>0.8</v>
      </c>
      <c r="D4">
        <v>0.2</v>
      </c>
      <c r="E4">
        <v>0.6</v>
      </c>
    </row>
    <row r="5" spans="1:5" x14ac:dyDescent="0.3">
      <c r="B5">
        <v>0.1</v>
      </c>
      <c r="C5">
        <v>0.7</v>
      </c>
      <c r="D5">
        <v>0.3</v>
      </c>
      <c r="E5">
        <v>0.8</v>
      </c>
    </row>
    <row r="7" spans="1:5" x14ac:dyDescent="0.3">
      <c r="A7" t="s">
        <v>9</v>
      </c>
      <c r="B7">
        <v>0</v>
      </c>
      <c r="D7" t="s">
        <v>22</v>
      </c>
      <c r="E7">
        <v>0</v>
      </c>
    </row>
    <row r="8" spans="1:5" x14ac:dyDescent="0.3">
      <c r="B8">
        <v>0</v>
      </c>
      <c r="E8">
        <v>0</v>
      </c>
    </row>
    <row r="11" spans="1:5" x14ac:dyDescent="0.3">
      <c r="A11" t="s">
        <v>23</v>
      </c>
      <c r="B11">
        <v>1</v>
      </c>
      <c r="D11" t="s">
        <v>24</v>
      </c>
      <c r="E11">
        <v>2</v>
      </c>
    </row>
    <row r="12" spans="1:5" x14ac:dyDescent="0.3">
      <c r="B12">
        <v>0</v>
      </c>
    </row>
    <row r="13" spans="1:5" x14ac:dyDescent="0.3">
      <c r="B13">
        <v>0</v>
      </c>
      <c r="D13" t="s">
        <v>25</v>
      </c>
      <c r="E13">
        <v>3</v>
      </c>
    </row>
    <row r="20" spans="1:10" x14ac:dyDescent="0.3">
      <c r="A20" t="s">
        <v>28</v>
      </c>
      <c r="B20">
        <v>0.4</v>
      </c>
      <c r="C20">
        <v>-0.3</v>
      </c>
      <c r="E20" t="s">
        <v>29</v>
      </c>
      <c r="F20">
        <v>0.5</v>
      </c>
      <c r="G20">
        <v>0.1</v>
      </c>
      <c r="I20" t="s">
        <v>30</v>
      </c>
      <c r="J20">
        <v>0</v>
      </c>
    </row>
    <row r="21" spans="1:10" x14ac:dyDescent="0.3">
      <c r="B21">
        <v>0.2</v>
      </c>
      <c r="C21">
        <v>0.1</v>
      </c>
      <c r="F21">
        <v>-0.2</v>
      </c>
      <c r="G21">
        <v>0.3</v>
      </c>
      <c r="J21">
        <v>0</v>
      </c>
    </row>
    <row r="23" spans="1:10" x14ac:dyDescent="0.3">
      <c r="A23" t="s">
        <v>31</v>
      </c>
      <c r="B23">
        <v>0.2</v>
      </c>
      <c r="C23">
        <v>0.5</v>
      </c>
      <c r="E23" t="s">
        <v>36</v>
      </c>
      <c r="F23">
        <v>0.1</v>
      </c>
      <c r="G23">
        <v>-0.2</v>
      </c>
      <c r="I23" t="s">
        <v>37</v>
      </c>
      <c r="J23">
        <v>0</v>
      </c>
    </row>
    <row r="24" spans="1:10" x14ac:dyDescent="0.3">
      <c r="B24">
        <v>-0.4</v>
      </c>
      <c r="C24">
        <v>0.3</v>
      </c>
      <c r="F24">
        <v>0.4</v>
      </c>
      <c r="G24">
        <v>0.2</v>
      </c>
      <c r="J24">
        <v>0</v>
      </c>
    </row>
    <row r="26" spans="1:10" x14ac:dyDescent="0.3">
      <c r="A26" t="s">
        <v>32</v>
      </c>
      <c r="B26">
        <v>0.3</v>
      </c>
      <c r="C26">
        <v>-0.1</v>
      </c>
      <c r="E26" t="s">
        <v>38</v>
      </c>
      <c r="F26">
        <v>0.2</v>
      </c>
      <c r="G26">
        <v>0.4</v>
      </c>
      <c r="I26" t="s">
        <v>39</v>
      </c>
      <c r="J26">
        <v>0</v>
      </c>
    </row>
    <row r="27" spans="1:10" x14ac:dyDescent="0.3">
      <c r="B27">
        <v>0.6</v>
      </c>
      <c r="C27">
        <v>0.2</v>
      </c>
      <c r="F27">
        <v>-0.5</v>
      </c>
      <c r="G27">
        <v>0.1</v>
      </c>
      <c r="J27">
        <v>0</v>
      </c>
    </row>
    <row r="29" spans="1:10" x14ac:dyDescent="0.3">
      <c r="A29" t="s">
        <v>33</v>
      </c>
      <c r="B29">
        <v>0.7</v>
      </c>
      <c r="C29">
        <v>0.1</v>
      </c>
      <c r="E29" t="s">
        <v>40</v>
      </c>
      <c r="F29">
        <v>0.2</v>
      </c>
      <c r="G29">
        <v>-0.1</v>
      </c>
      <c r="I29" t="s">
        <v>41</v>
      </c>
      <c r="J29">
        <v>0</v>
      </c>
    </row>
    <row r="30" spans="1:10" x14ac:dyDescent="0.3">
      <c r="B30">
        <v>-0.3</v>
      </c>
      <c r="C30">
        <v>0.2</v>
      </c>
      <c r="F30">
        <v>0.3</v>
      </c>
      <c r="G30">
        <v>0.5</v>
      </c>
      <c r="J30">
        <v>0</v>
      </c>
    </row>
    <row r="32" spans="1:10" x14ac:dyDescent="0.3">
      <c r="A32" t="s">
        <v>34</v>
      </c>
      <c r="B32">
        <v>0.6</v>
      </c>
      <c r="C32">
        <v>-0.3</v>
      </c>
      <c r="E32" t="s">
        <v>35</v>
      </c>
      <c r="F32">
        <v>0</v>
      </c>
    </row>
    <row r="33" spans="1:11" x14ac:dyDescent="0.3">
      <c r="B33">
        <v>-0.2</v>
      </c>
      <c r="C33">
        <v>0.4</v>
      </c>
      <c r="F33">
        <v>0</v>
      </c>
    </row>
    <row r="34" spans="1:11" x14ac:dyDescent="0.3">
      <c r="B34">
        <v>0.1</v>
      </c>
      <c r="C34">
        <v>0.2</v>
      </c>
      <c r="F34">
        <v>0</v>
      </c>
    </row>
    <row r="37" spans="1:11" s="2" customFormat="1" x14ac:dyDescent="0.3">
      <c r="A37" s="2" t="s">
        <v>27</v>
      </c>
    </row>
    <row r="38" spans="1:11" x14ac:dyDescent="0.3">
      <c r="A38" t="s">
        <v>4</v>
      </c>
    </row>
    <row r="39" spans="1:11" x14ac:dyDescent="0.3">
      <c r="A39">
        <v>0.5</v>
      </c>
    </row>
    <row r="40" spans="1:11" x14ac:dyDescent="0.3">
      <c r="A40">
        <v>0.1</v>
      </c>
    </row>
    <row r="43" spans="1:11" x14ac:dyDescent="0.3">
      <c r="A43" t="s">
        <v>42</v>
      </c>
      <c r="B43" cm="1">
        <f t="array" ref="B43:B44" xml:space="preserve"> MMULT($B20:$C21,$B4:$B5)+MMULT($F20:$G21,$B7:$B8)+$J20:$J21</f>
        <v>0.17</v>
      </c>
      <c r="D43" t="s">
        <v>43</v>
      </c>
      <c r="E43" cm="1">
        <f t="array" ref="E43:E44" xml:space="preserve"> MMULT($B23:$C24,$B4:$B5)+MMULT($F23:$G24,$B7:$B8)+$J23:$J24</f>
        <v>0.15000000000000002</v>
      </c>
      <c r="G43" t="s">
        <v>44</v>
      </c>
      <c r="H43" cm="1">
        <f t="array" ref="H43:H44" xml:space="preserve"> MMULT($B26:$C27,$B4:$B5)+MMULT($F26:$G27,$B7:$B8)+$J26:$J27</f>
        <v>0.13999999999999999</v>
      </c>
      <c r="J43" t="s">
        <v>45</v>
      </c>
      <c r="K43" cm="1">
        <f t="array" ref="K43:K44" xml:space="preserve"> MMULT(B29:C30,B4:B5)+MMULT(F29:G30,B7:B8)+J29:J30</f>
        <v>0.36</v>
      </c>
    </row>
    <row r="44" spans="1:11" x14ac:dyDescent="0.3">
      <c r="B44">
        <v>0.11000000000000001</v>
      </c>
      <c r="E44">
        <v>-0.17</v>
      </c>
      <c r="H44">
        <v>0.32</v>
      </c>
      <c r="K44">
        <v>-0.13</v>
      </c>
    </row>
    <row r="46" spans="1:11" x14ac:dyDescent="0.3">
      <c r="A46" t="s">
        <v>46</v>
      </c>
      <c r="B46" cm="1">
        <f t="array" ref="B46:B47">1/(1+EXP(-_xlfn.ANCHORARRAY($B43)))</f>
        <v>0.542397940774351</v>
      </c>
      <c r="D46" t="s">
        <v>47</v>
      </c>
      <c r="E46" cm="1">
        <f t="array" ref="E46:E47">1/(1+EXP(-_xlfn.ANCHORARRAY($E43)))</f>
        <v>0.5374298453437496</v>
      </c>
      <c r="G46" t="s">
        <v>49</v>
      </c>
      <c r="H46" cm="1">
        <f t="array" ref="H46:H47" xml:space="preserve"> TANH(_xlfn.ANCHORARRAY($H43))</f>
        <v>0.13909244787845801</v>
      </c>
      <c r="J46" t="s">
        <v>48</v>
      </c>
      <c r="K46" cm="1">
        <f t="array" ref="K46:K47">1/(1+EXP(-_xlfn.ANCHORARRAY($K43)))</f>
        <v>0.58904043405866513</v>
      </c>
    </row>
    <row r="47" spans="1:11" x14ac:dyDescent="0.3">
      <c r="B47">
        <v>0.52747230434459369</v>
      </c>
      <c r="E47">
        <v>0.45760205922564895</v>
      </c>
      <c r="H47">
        <v>0.30950692121263851</v>
      </c>
      <c r="K47">
        <v>0.46754569361268122</v>
      </c>
    </row>
    <row r="49" spans="1:11" x14ac:dyDescent="0.3">
      <c r="A49" t="s">
        <v>50</v>
      </c>
      <c r="B49" cm="1">
        <f t="array" ref="B49:B50">_xlfn.ANCHORARRAY( $B46)*$E7:$E8+_xlfn.ANCHORARRAY($E46)*_xlfn.ANCHORARRAY($H46)</f>
        <v>7.4752432751803238E-2</v>
      </c>
      <c r="D49" t="s">
        <v>51</v>
      </c>
      <c r="E49" cm="1">
        <f t="array" ref="E49:E50">_xlfn.ANCHORARRAY( $K46)*TANH(_xlfn.ANCHORARRAY($B49))</f>
        <v>4.3950372103479143E-2</v>
      </c>
    </row>
    <row r="50" spans="1:11" x14ac:dyDescent="0.3">
      <c r="B50">
        <v>0.14163100449149407</v>
      </c>
      <c r="E50">
        <v>6.5779720668706326E-2</v>
      </c>
    </row>
    <row r="52" spans="1:11" s="3" customFormat="1" x14ac:dyDescent="0.3"/>
    <row r="54" spans="1:11" x14ac:dyDescent="0.3">
      <c r="A54" t="s">
        <v>19</v>
      </c>
    </row>
    <row r="55" spans="1:11" x14ac:dyDescent="0.3">
      <c r="A55">
        <v>0.8</v>
      </c>
    </row>
    <row r="56" spans="1:11" x14ac:dyDescent="0.3">
      <c r="A56">
        <v>0.7</v>
      </c>
    </row>
    <row r="60" spans="1:11" x14ac:dyDescent="0.3">
      <c r="A60" t="s">
        <v>42</v>
      </c>
      <c r="B60" cm="1">
        <f t="array" ref="B60:B61" xml:space="preserve"> MMULT($B$20:$C$21,$C$4:$C$5)+MMULT($F$20:$G$21,_xlfn.ANCHORARRAY($E$49))+$J$20:$J$21</f>
        <v>0.13855315811861027</v>
      </c>
      <c r="D60" t="s">
        <v>43</v>
      </c>
      <c r="E60" cm="1">
        <f t="array" ref="E60:E61" xml:space="preserve"> MMULT($B$23:$C$24,$C$4:$C$5)+MMULT($F$23:$G$24,_xlfn.ANCHORARRAY($E$49))+$J$23:$J$24</f>
        <v>0.50123909307660663</v>
      </c>
      <c r="G60" t="s">
        <v>44</v>
      </c>
      <c r="H60" cm="1">
        <f t="array" ref="H60:H61" xml:space="preserve"> MMULT($B$26:$C$27,$C$4:$C$5)+MMULT($F$26:$G$27,_xlfn.ANCHORARRAY($E$49))+$J$26:$J$27</f>
        <v>0.20510196268817835</v>
      </c>
      <c r="J60" t="s">
        <v>45</v>
      </c>
      <c r="K60" cm="1">
        <f t="array" ref="K60:K61" xml:space="preserve"> MMULT($B$29:$C$30,$C$4:$C$5)+MMULT($F$29:$G$30,_xlfn.ANCHORARRAY($E$49))+$J$29:$J$30</f>
        <v>0.63221210235382508</v>
      </c>
    </row>
    <row r="61" spans="1:11" x14ac:dyDescent="0.3">
      <c r="B61">
        <v>0.2409438417799161</v>
      </c>
      <c r="E61">
        <v>-7.9263907024867145E-2</v>
      </c>
      <c r="H61">
        <v>0.60460278601513107</v>
      </c>
      <c r="K61">
        <v>-5.3925028034603098E-2</v>
      </c>
    </row>
    <row r="63" spans="1:11" x14ac:dyDescent="0.3">
      <c r="A63" t="s">
        <v>46</v>
      </c>
      <c r="B63" cm="1">
        <f t="array" ref="B63:B64">1/(1+EXP(-_xlfn.ANCHORARRAY($B$60)))</f>
        <v>0.53458298315965336</v>
      </c>
      <c r="D63" t="s">
        <v>47</v>
      </c>
      <c r="E63" cm="1">
        <f t="array" ref="E63:E64">1/(1+EXP(-_xlfn.ANCHORARRAY($E$60)))</f>
        <v>0.62275047845911846</v>
      </c>
      <c r="G63" t="s">
        <v>49</v>
      </c>
      <c r="H63" cm="1">
        <f t="array" ref="H63:H64" xml:space="preserve"> TANH(_xlfn.ANCHORARRAY($H$60))</f>
        <v>0.20227355063998581</v>
      </c>
      <c r="J63" t="s">
        <v>48</v>
      </c>
      <c r="K63" cm="1">
        <f t="array" ref="K63:K64">1/(1+EXP(-_xlfn.ANCHORARRAY($K$60)))</f>
        <v>0.65299088034136288</v>
      </c>
    </row>
    <row r="64" spans="1:11" x14ac:dyDescent="0.3">
      <c r="B64">
        <v>0.55994623111111275</v>
      </c>
      <c r="E64">
        <v>0.48019439165992944</v>
      </c>
      <c r="H64">
        <v>0.54031670797526055</v>
      </c>
      <c r="K64">
        <v>0.48652200889697766</v>
      </c>
    </row>
    <row r="66" spans="1:11" x14ac:dyDescent="0.3">
      <c r="A66" t="s">
        <v>50</v>
      </c>
      <c r="B66" cm="1">
        <f t="array" ref="B66:B67">_xlfn.ANCHORARRAY( $B$63)*_xlfn.ANCHORARRAY(B49)+_xlfn.ANCHORARRAY($E$63)*_xlfn.ANCHORARRAY($H$63)</f>
        <v>0.16592732893957624</v>
      </c>
      <c r="D66" t="s">
        <v>51</v>
      </c>
      <c r="E66" cm="1">
        <f t="array" ref="E66:E67">_xlfn.ANCHORARRAY( $K$63)*TANH(_xlfn.ANCHORARRAY($B$66))</f>
        <v>0.10736551165037789</v>
      </c>
    </row>
    <row r="67" spans="1:11" x14ac:dyDescent="0.3">
      <c r="B67">
        <v>0.33876280006336917</v>
      </c>
      <c r="E67">
        <v>0.15878736876470764</v>
      </c>
    </row>
    <row r="71" spans="1:11" s="3" customFormat="1" x14ac:dyDescent="0.3"/>
    <row r="73" spans="1:11" x14ac:dyDescent="0.3">
      <c r="A73" t="s">
        <v>20</v>
      </c>
    </row>
    <row r="74" spans="1:11" x14ac:dyDescent="0.3">
      <c r="A74">
        <v>0.2</v>
      </c>
    </row>
    <row r="75" spans="1:11" x14ac:dyDescent="0.3">
      <c r="A75">
        <v>0.3</v>
      </c>
    </row>
    <row r="78" spans="1:11" x14ac:dyDescent="0.3">
      <c r="A78" t="s">
        <v>42</v>
      </c>
      <c r="B78" cm="1">
        <f t="array" ref="B78:B79" xml:space="preserve"> MMULT($B$20:$C$21,D4:D5)+MMULT($F$20:$G$21,_xlfn.ANCHORARRAY(E66))+$J$20:$J$21</f>
        <v>5.9561492701659724E-2</v>
      </c>
      <c r="D78" t="s">
        <v>43</v>
      </c>
      <c r="E78" cm="1">
        <f t="array" ref="E78:E79" xml:space="preserve"> MMULT($B$23:$C$24,$D$4:$D$5)+MMULT($F$23:$G$24,_xlfn.ANCHORARRAY($E$66))+$J$23:$J$24</f>
        <v>0.16897907741209625</v>
      </c>
      <c r="G78" t="s">
        <v>44</v>
      </c>
      <c r="H78" cm="1">
        <f t="array" ref="H78:H79" xml:space="preserve"> MMULT($B$26:$C$27,$D$4:$D$5)+MMULT($F$26:$G$27,_xlfn.ANCHORARRAY($E$66))+$J$26:$J$27</f>
        <v>0.11498804983595864</v>
      </c>
      <c r="J78" t="s">
        <v>45</v>
      </c>
      <c r="K78" cm="1">
        <f t="array" ref="K78:K79" xml:space="preserve"> MMULT($B$29:$C$30,$D$4:$D$5)+MMULT($F$29:$G$30,_xlfn.ANCHORARRAY($E$66))+$J$29:$J$30</f>
        <v>0.17559436545360479</v>
      </c>
    </row>
    <row r="79" spans="1:11" x14ac:dyDescent="0.3">
      <c r="B79">
        <v>9.6163108299336719E-2</v>
      </c>
      <c r="E79">
        <v>8.4703678413092676E-2</v>
      </c>
      <c r="H79">
        <v>0.14219598105128181</v>
      </c>
      <c r="K79">
        <v>0.11160333787746718</v>
      </c>
    </row>
    <row r="81" spans="1:11" x14ac:dyDescent="0.3">
      <c r="A81" t="s">
        <v>46</v>
      </c>
      <c r="B81" cm="1">
        <f t="array" ref="B81:B82">1/(1+EXP(-_xlfn.ANCHORARRAY($B$78)))</f>
        <v>0.51488597268133141</v>
      </c>
      <c r="D81" t="s">
        <v>47</v>
      </c>
      <c r="E81" cm="1">
        <f t="array" ref="E81:E82">1/(1+EXP(-_xlfn.ANCHORARRAY(E78)))</f>
        <v>0.54214453437620536</v>
      </c>
      <c r="G81" t="s">
        <v>49</v>
      </c>
      <c r="H81" cm="1">
        <f t="array" ref="H81:H82" xml:space="preserve"> TANH(_xlfn.ANCHORARRAY($H$78))</f>
        <v>0.11448391567483013</v>
      </c>
      <c r="J81" t="s">
        <v>48</v>
      </c>
      <c r="K81" cm="1">
        <f t="array" ref="K81:K82">1/(1+EXP(-_xlfn.ANCHORARRAY($K$78)))</f>
        <v>0.54378614290058291</v>
      </c>
    </row>
    <row r="82" spans="1:11" x14ac:dyDescent="0.3">
      <c r="B82">
        <v>0.52402226808045183</v>
      </c>
      <c r="E82">
        <v>0.52116326775148969</v>
      </c>
      <c r="H82">
        <v>0.14124528289132968</v>
      </c>
      <c r="K82">
        <v>0.52787191104352693</v>
      </c>
    </row>
    <row r="84" spans="1:11" x14ac:dyDescent="0.3">
      <c r="A84" t="s">
        <v>50</v>
      </c>
      <c r="B84" cm="1">
        <f t="array" ref="B84:B85">_xlfn.ANCHORARRAY( B81)*_xlfn.ANCHORARRAY(B66)+_xlfn.ANCHORARRAY(E81)*_xlfn.ANCHORARRAY(H81)</f>
        <v>0.14750048331256449</v>
      </c>
      <c r="D84" t="s">
        <v>51</v>
      </c>
      <c r="E84" cm="1">
        <f t="array" ref="E84:E85">_xlfn.ANCHORARRAY( K81)*TANH(_xlfn.ANCHORARRAY(B84))</f>
        <v>7.9632052721881105E-2</v>
      </c>
    </row>
    <row r="85" spans="1:11" x14ac:dyDescent="0.3">
      <c r="B85">
        <v>0.25113110401662031</v>
      </c>
      <c r="E85">
        <v>0.12984678891389223</v>
      </c>
    </row>
    <row r="90" spans="1:11" s="3" customFormat="1" x14ac:dyDescent="0.3"/>
    <row r="92" spans="1:11" x14ac:dyDescent="0.3">
      <c r="A92" t="s">
        <v>21</v>
      </c>
    </row>
    <row r="93" spans="1:11" x14ac:dyDescent="0.3">
      <c r="A93">
        <v>0.6</v>
      </c>
    </row>
    <row r="94" spans="1:11" x14ac:dyDescent="0.3">
      <c r="A94">
        <v>0.8</v>
      </c>
    </row>
    <row r="97" spans="1:11" x14ac:dyDescent="0.3">
      <c r="A97" t="s">
        <v>42</v>
      </c>
      <c r="B97" cm="1">
        <f t="array" ref="B97:B98" xml:space="preserve"> MMULT($B$20:$C$21,E4:E5)+MMULT($F$20:$G$21,_xlfn.ANCHORARRAY(E84))+$J$20:$J$21</f>
        <v>5.2800705252329778E-2</v>
      </c>
      <c r="D97" t="s">
        <v>43</v>
      </c>
      <c r="E97" cm="1">
        <f t="array" ref="E97:E98" xml:space="preserve"> MMULT($B$23:$C$24,$E$4:$E$5)+MMULT($F$23:$G$24,_xlfn.ANCHORARRAY($E$84))+$J$23:$J$24</f>
        <v>0.50199384748940967</v>
      </c>
      <c r="G97" t="s">
        <v>44</v>
      </c>
      <c r="H97" cm="1">
        <f t="array" ref="H97:H98" xml:space="preserve"> MMULT($B$26:$C$27,$E$4:$E$5)+MMULT($F$26:$G$27,_xlfn.ANCHORARRAY($E$84))+$J$26:$J$27</f>
        <v>0.16786512610993309</v>
      </c>
      <c r="J97" t="s">
        <v>45</v>
      </c>
      <c r="K97" cm="1">
        <f t="array" ref="K97:K98" xml:space="preserve"> MMULT($B$29:$C$30,$E$4:$E$5)+MMULT($F$29:$G$30,_xlfn.ANCHORARRAY($E$84))+$J$29:$J$30</f>
        <v>0.50294173165298695</v>
      </c>
    </row>
    <row r="98" spans="1:11" x14ac:dyDescent="0.3">
      <c r="B98">
        <v>0.22302762612979146</v>
      </c>
      <c r="E98">
        <v>5.7822178871530891E-2</v>
      </c>
      <c r="H98">
        <v>0.49316865253044867</v>
      </c>
      <c r="K98">
        <v>6.8813010273510486E-2</v>
      </c>
    </row>
    <row r="100" spans="1:11" x14ac:dyDescent="0.3">
      <c r="A100" t="s">
        <v>46</v>
      </c>
      <c r="B100" cm="1">
        <f t="array" ref="B100:B101">1/(1+EXP(-_xlfn.ANCHORARRAY($B$97)))</f>
        <v>0.5131971104209393</v>
      </c>
      <c r="D100" t="s">
        <v>47</v>
      </c>
      <c r="E100" cm="1">
        <f t="array" ref="E100:E101">1/(1+EXP(-_xlfn.ANCHORARRAY(E97)))</f>
        <v>0.62292777822976353</v>
      </c>
      <c r="G100" t="s">
        <v>49</v>
      </c>
      <c r="H100" cm="1">
        <f t="array" ref="H100:H101" xml:space="preserve"> TANH(_xlfn.ANCHORARRAY($H$97))</f>
        <v>0.16630595751806951</v>
      </c>
      <c r="J100" t="s">
        <v>48</v>
      </c>
      <c r="K100" cm="1">
        <f t="array" ref="K100:K101">1/(1+EXP(-_xlfn.ANCHORARRAY($K$97)))</f>
        <v>0.62315039961003971</v>
      </c>
    </row>
    <row r="101" spans="1:11" x14ac:dyDescent="0.3">
      <c r="B101">
        <v>0.55552693186891733</v>
      </c>
      <c r="E101">
        <v>0.51445151850305604</v>
      </c>
      <c r="H101">
        <v>0.45672772957395535</v>
      </c>
      <c r="K101">
        <v>0.51719646733430358</v>
      </c>
    </row>
    <row r="103" spans="1:11" x14ac:dyDescent="0.3">
      <c r="A103" t="s">
        <v>50</v>
      </c>
      <c r="B103" cm="1">
        <f t="array" ref="B103:B104">_xlfn.ANCHORARRAY( B100)*_xlfn.ANCHORARRAY(B84)+_xlfn.ANCHORARRAY(E100)*_xlfn.ANCHORARRAY(H100)</f>
        <v>0.17929342244480456</v>
      </c>
      <c r="D103" t="s">
        <v>51</v>
      </c>
      <c r="E103" cm="1">
        <f t="array" ref="E103:E104">_xlfn.ANCHORARRAY( K100)*TANH(_xlfn.ANCHORARRAY(B103))</f>
        <v>0.11054476973644344</v>
      </c>
    </row>
    <row r="104" spans="1:11" x14ac:dyDescent="0.3">
      <c r="B104">
        <v>0.37447436573298148</v>
      </c>
      <c r="E104">
        <v>0.18510419144372267</v>
      </c>
    </row>
    <row r="108" spans="1:11" s="3" customFormat="1" x14ac:dyDescent="0.3">
      <c r="A108" s="3" t="s">
        <v>52</v>
      </c>
    </row>
    <row r="110" spans="1:11" x14ac:dyDescent="0.3">
      <c r="A110" t="s">
        <v>53</v>
      </c>
      <c r="B110">
        <f>E103</f>
        <v>0.11054476973644344</v>
      </c>
      <c r="D110" t="s">
        <v>54</v>
      </c>
      <c r="E110">
        <f>B103</f>
        <v>0.17929342244480456</v>
      </c>
    </row>
    <row r="111" spans="1:11" x14ac:dyDescent="0.3">
      <c r="B111">
        <f>E104</f>
        <v>0.18510419144372267</v>
      </c>
      <c r="E111">
        <f>B104</f>
        <v>0.37447436573298148</v>
      </c>
    </row>
    <row r="114" spans="1:11" x14ac:dyDescent="0.3">
      <c r="A114" t="s">
        <v>56</v>
      </c>
      <c r="B114" cm="1">
        <f t="array" ref="B114:B115" xml:space="preserve"> MMULT($F$20:$G$21,B110:B111)+$J$20:$J$21</f>
        <v>7.3782804012593989E-2</v>
      </c>
      <c r="D114" t="s">
        <v>58</v>
      </c>
      <c r="E114" cm="1">
        <f t="array" ref="E114:E115" xml:space="preserve"> MMULT($F$23:$G$24,B110:B111)+J23:J24</f>
        <v>-2.5966361315100189E-2</v>
      </c>
      <c r="G114" t="s">
        <v>59</v>
      </c>
      <c r="H114" cm="1">
        <f t="array" ref="H114:H115" xml:space="preserve"> MMULT(F26:G27,$B$110:$B$111)+J26:J27</f>
        <v>9.6150630524777764E-2</v>
      </c>
      <c r="J114" t="s">
        <v>60</v>
      </c>
      <c r="K114" cm="1">
        <f t="array" ref="K114:K115" xml:space="preserve"> MMULT(F29:G30,$B$110:$B$111)+J29:J30</f>
        <v>3.5985348029164213E-3</v>
      </c>
    </row>
    <row r="115" spans="1:11" x14ac:dyDescent="0.3">
      <c r="B115">
        <v>3.3422303485828114E-2</v>
      </c>
      <c r="E115">
        <v>8.1238746183321914E-2</v>
      </c>
      <c r="H115">
        <v>-3.6761965723849446E-2</v>
      </c>
      <c r="K115">
        <v>0.12571552664279437</v>
      </c>
    </row>
    <row r="117" spans="1:11" x14ac:dyDescent="0.3">
      <c r="A117" t="s">
        <v>55</v>
      </c>
      <c r="B117" cm="1">
        <f t="array" ref="B117:B118">1/(1+EXP(-_xlfn.ANCHORARRAY(B114)))</f>
        <v>0.51843733750681786</v>
      </c>
      <c r="D117" t="s">
        <v>57</v>
      </c>
      <c r="E117" cm="1">
        <f t="array" ref="E117:E118">1/(1+EXP(-_xlfn.ANCHORARRAY(E114)))</f>
        <v>0.49350877439390373</v>
      </c>
      <c r="G117" t="s">
        <v>61</v>
      </c>
      <c r="H117" cm="1">
        <f t="array" ref="H117:H118" xml:space="preserve"> TANH(_xlfn.ANCHORARRAY(H114))</f>
        <v>9.5855419769216757E-2</v>
      </c>
      <c r="J117" t="s">
        <v>62</v>
      </c>
      <c r="K117" cm="1">
        <f t="array" ref="K117:K118">1/(1+EXP(-_xlfn.ANCHORARRAY(K114)))</f>
        <v>0.50089963272991667</v>
      </c>
    </row>
    <row r="118" spans="1:11" x14ac:dyDescent="0.3">
      <c r="B118">
        <v>0.50835479815840467</v>
      </c>
      <c r="E118">
        <v>0.52029852403553078</v>
      </c>
      <c r="H118">
        <v>-3.6745414114863213E-2</v>
      </c>
      <c r="K118">
        <v>0.53138755410704575</v>
      </c>
    </row>
    <row r="121" spans="1:11" x14ac:dyDescent="0.3">
      <c r="A121" t="s">
        <v>63</v>
      </c>
      <c r="B121" cm="1">
        <f t="array" ref="B121:B122">_xlfn.ANCHORARRAY(B117)*E110:E111+_xlfn.ANCHORARRAY(E117)*_xlfn.ANCHORARRAY(H117)</f>
        <v>0.14025789529408894</v>
      </c>
      <c r="D121" t="s">
        <v>64</v>
      </c>
      <c r="E121" cm="1">
        <f t="array" ref="E121:E122">_xlfn.ANCHORARRAY( K117)*TANH(_xlfn.ANCHORARRAY(B121))</f>
        <v>6.979803196781903E-2</v>
      </c>
    </row>
    <row r="122" spans="1:11" x14ac:dyDescent="0.3">
      <c r="B122">
        <v>0.17124725587864872</v>
      </c>
      <c r="E122">
        <v>9.0119441673220016E-2</v>
      </c>
    </row>
    <row r="125" spans="1:11" x14ac:dyDescent="0.3">
      <c r="A125" t="s">
        <v>65</v>
      </c>
      <c r="B125" cm="1">
        <f t="array" ref="B125:B127" xml:space="preserve"> MMULT(B32:C34,_xlfn.ANCHORARRAY(E121)) +F32:F34</f>
        <v>1.4842986678725415E-2</v>
      </c>
    </row>
    <row r="126" spans="1:11" x14ac:dyDescent="0.3">
      <c r="B126">
        <v>2.2088170275724205E-2</v>
      </c>
    </row>
    <row r="127" spans="1:11" x14ac:dyDescent="0.3">
      <c r="B127">
        <v>2.5003691531425908E-2</v>
      </c>
    </row>
    <row r="129" spans="1:2" x14ac:dyDescent="0.3">
      <c r="A129" t="s">
        <v>66</v>
      </c>
      <c r="B129" cm="1">
        <f t="array" ref="B129:B131" xml:space="preserve"> EXP(_xlfn.ANCHORARRAY(B125))/SUM(EXP(_xlfn.ANCHORARRAY(B125)))</f>
        <v>0.33140192363686161</v>
      </c>
    </row>
    <row r="130" spans="1:2" x14ac:dyDescent="0.3">
      <c r="B130">
        <v>0.3338117105509808</v>
      </c>
    </row>
    <row r="131" spans="1:2" x14ac:dyDescent="0.3">
      <c r="B131">
        <v>0.33478636581215765</v>
      </c>
    </row>
    <row r="133" spans="1:2" x14ac:dyDescent="0.3">
      <c r="A133" t="s">
        <v>67</v>
      </c>
      <c r="B133">
        <f xml:space="preserve"> -LN(B129)</f>
        <v>1.1044233694293888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RNN</vt:lpstr>
      <vt:lpstr>LSTM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Hảo Điền</dc:creator>
  <cp:lastModifiedBy>Trần Hảo Điền</cp:lastModifiedBy>
  <dcterms:created xsi:type="dcterms:W3CDTF">2025-11-09T15:02:03Z</dcterms:created>
  <dcterms:modified xsi:type="dcterms:W3CDTF">2025-11-10T04:00:38Z</dcterms:modified>
</cp:coreProperties>
</file>